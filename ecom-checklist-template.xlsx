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表1口径底表" sheetId="2" state="visible" r:id="rId4"/>
    <sheet name="表2保本线测算" sheetId="3" state="visible" r:id="rId5"/>
    <sheet name="表3平台店铺穿透" sheetId="4" state="visible" r:id="rId6"/>
  </sheets>
  <definedNames>
    <definedName function="false" hidden="true" localSheetId="1" name="_xlnm._FilterDatabase" vbProcedure="false">表1口径底表!$A$2:$Q$26</definedName>
    <definedName function="false" hidden="true" localSheetId="3" name="_xlnm._FilterDatabase" vbProcedure="false">表3平台店铺穿透!$A$2:$I$12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<sst xmlns="http://schemas.openxmlformats.org/spreadsheetml/2006/main" count="126" uniqueCount="119">
  <si>
    <t xml:space="preserve">电商经营口径自查表 · 使用说明</t>
  </si>
  <si>
    <t xml:space="preserve">把自己店铺的账，从「营业额」算到「净利润」——4 个公式 + 3 张表</t>
  </si>
  <si>
    <t xml:space="preserve">一、4 个公式（顺序不能乱）</t>
  </si>
  <si>
    <t xml:space="preserve">净收入 = 订单收入 − 补单 − 退款 − 其他减免</t>
  </si>
  <si>
    <t xml:space="preserve">平台后台那个数是订单收入，不是你的收入</t>
  </si>
  <si>
    <t xml:space="preserve">毛利 = 发货收入 − 商品成本 − 快递费</t>
  </si>
  <si>
    <t xml:space="preserve">发货收入是真实收入，与净收入存在确认时间差</t>
  </si>
  <si>
    <t xml:space="preserve">边际贡献 = 毛利 − 平台佣金 − 推广费</t>
  </si>
  <si>
    <t xml:space="preserve">这一层决定你能不能覆盖每月的固定成本</t>
  </si>
  <si>
    <t xml:space="preserve">净利润 = 边际贡献 − 分摊费用</t>
  </si>
  <si>
    <t xml:space="preserve">分摊＝人工 / 场地 / 仓储 / 客服 / 管理。不摊，账就是假的</t>
  </si>
  <si>
    <t xml:space="preserve">二、3 张表怎么用（15 分钟跑一遍）</t>
  </si>
  <si>
    <t xml:space="preserve">表 1 · 口径底表</t>
  </si>
  <si>
    <t xml:space="preserve">浅蓝底＝自己填（后台导出：订单收入 / 补单 / 退款 / 发货收入 / 推广费）；灰色＝公式自动算。前 12 行是示例，照着往下填</t>
  </si>
  <si>
    <t xml:space="preserve">表 2 · 保本线测算</t>
  </si>
  <si>
    <t xml:space="preserve">填一个数（最近一个月的净收入），其余全自动。算出你的月保本净收入</t>
  </si>
  <si>
    <t xml:space="preserve">表 3 · 平台店铺穿透</t>
  </si>
  <si>
    <t xml:space="preserve">按平台或店铺填 4 个数，自动算净利率、补单占比并给判定</t>
  </si>
  <si>
    <t xml:space="preserve">三、判断阈值（参考基线＝我方实测）</t>
  </si>
  <si>
    <t xml:space="preserve">指标</t>
  </si>
  <si>
    <t xml:space="preserve">我方实测</t>
  </si>
  <si>
    <t xml:space="preserve">预警线</t>
  </si>
  <si>
    <t xml:space="preserve">净利率（净利润 ÷ 净收入）</t>
  </si>
  <si>
    <t xml:space="preserve">-1.7%</t>
  </si>
  <si>
    <t xml:space="preserve">&lt; 0 先查分摊</t>
  </si>
  <si>
    <t xml:space="preserve">分摊费用 ÷ 净收入</t>
  </si>
  <si>
    <t xml:space="preserve">37.4%</t>
  </si>
  <si>
    <t xml:space="preserve">&gt; 35% 固定成本过重</t>
  </si>
  <si>
    <t xml:space="preserve">补单 ÷ 订单收入</t>
  </si>
  <si>
    <t xml:space="preserve">41.8%</t>
  </si>
  <si>
    <t xml:space="preserve">&gt; 40% 订单数已失真</t>
  </si>
  <si>
    <t xml:space="preserve">低于保本线的月份占比</t>
  </si>
  <si>
    <t xml:space="preserve">15 / 24 个月</t>
  </si>
  <si>
    <t xml:space="preserve">≥ 30% 必须调结构</t>
  </si>
  <si>
    <t xml:space="preserve">口径来源：自有电商 2022-06 ~ 2024-05 实测（9 平台 / 21 店 / 812 商品 / 702 天 / 62,991 行明细），姓名与商品 ID 已打码。本表仅供口径参考，不构成财务意见。</t>
  </si>
  <si>
    <t xml:space="preserve">表 1 · 口径底表（按月）｜浅蓝底＝自己填，灰色＝公式自动算；前 12 行为示例，请从示例下方继续填</t>
  </si>
  <si>
    <t xml:space="preserve">月份</t>
  </si>
  <si>
    <t xml:space="preserve">订单收入</t>
  </si>
  <si>
    <t xml:space="preserve">补单</t>
  </si>
  <si>
    <t xml:space="preserve">退款</t>
  </si>
  <si>
    <t xml:space="preserve">其他减免</t>
  </si>
  <si>
    <t xml:space="preserve">净收入</t>
  </si>
  <si>
    <t xml:space="preserve">发货收入</t>
  </si>
  <si>
    <t xml:space="preserve">商品成本</t>
  </si>
  <si>
    <t xml:space="preserve">快递费</t>
  </si>
  <si>
    <t xml:space="preserve">毛利</t>
  </si>
  <si>
    <t xml:space="preserve">平台佣金</t>
  </si>
  <si>
    <t xml:space="preserve">推广费</t>
  </si>
  <si>
    <t xml:space="preserve">边际贡献</t>
  </si>
  <si>
    <t xml:space="preserve">分摊费用</t>
  </si>
  <si>
    <t xml:space="preserve">净利润</t>
  </si>
  <si>
    <t xml:space="preserve">净利率</t>
  </si>
  <si>
    <t xml:space="preserve">备注</t>
  </si>
  <si>
    <t xml:space="preserve">2023-01</t>
  </si>
  <si>
    <t xml:space="preserve">全年最好的一个月之一：推广费 9.8 万拿到 124 万订单收入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</si>
  <si>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</si>
  <si>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</si>
  <si>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</si>
  <si>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</si>
  <si>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</si>
  <si>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推广费只花了 4 万，净利率 26.4%，是全年最高</t>
  </si>
  <si>
    <t xml:space="preserve">2023-07</t>
  </si>
  <si>
    <t xml:space="preserve">2023-08</t>
  </si>
  <si>
    <t xml:space="preserve">2023-09</t>
  </si>
  <si>
    <t xml:space="preserve">净收入 45.7 万，跌破保本线，亏损</t>
  </si>
  <si>
    <t xml:space="preserve">2023-10</t>
  </si>
  <si>
    <t xml:space="preserve">2023-11</t>
  </si>
  <si>
    <t xml:space="preserve">推广费 16.3 万、净收入 66.7 万 —— 典型「越卖越亏」</t>
  </si>
  <si>
    <t xml:space="preserve">2023-12</t>
  </si>
  <si>
    <t xml:space="preserve">退款 28.3 万（年末集中退货），净利率被压到 1.3%</t>
  </si>
  <si>
    <t xml:space="preserve">合计</t>
  </si>
  <si>
    <t xml:space="preserve">示例 12 个月合计（净利润 -34.8 万＝两年全期口径的其中一年参考）</t>
  </si>
  <si>
    <t xml:space="preserve">表 2 · 保本线测算表（这表最值钱）</t>
  </si>
  <si>
    <t xml:space="preserve">只填一个数：最近一个月的净收入。其余全部引用表 1 自动算。</t>
  </si>
  <si>
    <t xml:space="preserve">① 输入（自己填）</t>
  </si>
  <si>
    <t xml:space="preserve">最近一个月的净收入（元）</t>
  </si>
  <si>
    <t xml:space="preserve">从表 1「净收入」列抄当月数</t>
  </si>
  <si>
    <t xml:space="preserve">② 自动计算（灰色＝公式，请勿手改）</t>
  </si>
  <si>
    <t xml:space="preserve">算法</t>
  </si>
  <si>
    <t xml:space="preserve">数值</t>
  </si>
  <si>
    <t xml:space="preserve">判定 / 说明</t>
  </si>
  <si>
    <t xml:space="preserve">统计月份数</t>
  </si>
  <si>
    <t xml:space="preserve">表 1 已填月份数</t>
  </si>
  <si>
    <t xml:space="preserve">灰色行全部自动生成，不用填</t>
  </si>
  <si>
    <t xml:space="preserve">净收入合计（元）</t>
  </si>
  <si>
    <t xml:space="preserve">SUM(表 1 净收入列)</t>
  </si>
  <si>
    <t xml:space="preserve">边际贡献合计（元）</t>
  </si>
  <si>
    <t xml:space="preserve">SUM(表 1 边际贡献列)</t>
  </si>
  <si>
    <t xml:space="preserve">边际贡献率</t>
  </si>
  <si>
    <t xml:space="preserve">边际贡献合计 ÷ 净收入合计</t>
  </si>
  <si>
    <t xml:space="preserve">&gt; 25% 尚可；&lt; 25% 说明利润结构偏薄</t>
  </si>
  <si>
    <t xml:space="preserve">月均固定分摊（元）</t>
  </si>
  <si>
    <t xml:space="preserve">分摊费用合计 ÷ 统计月份数</t>
  </si>
  <si>
    <t xml:space="preserve">人工 + 场地 + 仓储 + 客服 + 管理，摊到每月</t>
  </si>
  <si>
    <t xml:space="preserve">保本净收入 / 月（元）</t>
  </si>
  <si>
    <t xml:space="preserve">月均固定分摊 ÷ 边际贡献率</t>
  </si>
  <si>
    <t xml:space="preserve">这条线以下，卖得越多亏得越多</t>
  </si>
  <si>
    <t xml:space="preserve">本月净收入（元）</t>
  </si>
  <si>
    <t xml:space="preserve">引用上面的输入格</t>
  </si>
  <si>
    <t xml:space="preserve">差额（元）</t>
  </si>
  <si>
    <t xml:space="preserve">本月净收入 − 保本净收入</t>
  </si>
  <si>
    <t xml:space="preserve">&lt; 0 即为低于保本线</t>
  </si>
  <si>
    <t xml:space="preserve">判定</t>
  </si>
  <si>
    <t xml:space="preserve">自动</t>
  </si>
  <si>
    <t xml:space="preserve">低于保本线时，先动固定成本，不要加投放</t>
  </si>
  <si>
    <t xml:space="preserve">表 3 · 平台 / 店铺穿透表｜浅蓝底＝自己填，灰色＝公式自动算；前 5 行为示例</t>
  </si>
  <si>
    <t xml:space="preserve">平台 / 店铺</t>
  </si>
  <si>
    <t xml:space="preserve">补单占比</t>
  </si>
  <si>
    <t xml:space="preserve">说明</t>
  </si>
  <si>
    <t xml:space="preserve">京东</t>
  </si>
  <si>
    <t xml:space="preserve">体量最小、净利率最高，先复算它的商品成本口径</t>
  </si>
  <si>
    <t xml:space="preserve">淘宝特价版</t>
  </si>
  <si>
    <t xml:space="preserve">补单占比接近 0、净利率为正 —— 最干净的渠道</t>
  </si>
  <si>
    <t xml:space="preserve">天猫</t>
  </si>
  <si>
    <t xml:space="preserve">占净收入 78%，却亏得最多；先复算分摊口径再决定停不停</t>
  </si>
  <si>
    <t xml:space="preserve">拼多多</t>
  </si>
  <si>
    <t xml:space="preserve">净利率为负、补单占比 44%，订单数已失真</t>
  </si>
  <si>
    <t xml:space="preserve">阿里巴巴</t>
  </si>
  <si>
    <t xml:space="preserve">体量极小、净利率 -30%，可先关停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</si>
</sst>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¥#,##0.00"/>
    <numFmt numFmtId="166" formatCode="0.0%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微软雅黑"/>
      <family val="0"/>
      <charset val="1"/>
    </font>
    <font>
      <sz val="9"/>
      <color rgb="FF6B6B6B"/>
      <name val="微软雅黑"/>
      <family val="0"/>
      <charset val="1"/>
    </font>
    <font>
      <b val="true"/>
      <sz val="10"/>
      <name val="微软雅黑"/>
      <family val="0"/>
      <charset val="1"/>
    </font>
    <font>
      <sz val="10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sz val="9"/>
      <color rgb="FFFFFFFF"/>
      <name val="微软雅黑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2F5597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F5597"/>
        <bgColor rgb="FF4472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</dxf>
    <dxf>
      <fill>
        <patternFill>
          <bgColor rgb="FFFFEB9C"/>
        </patternFill>
      </fill>
    </dxf>
    <dxf>
      <font>
        <name val="微软雅黑"/>
        <charset val="1"/>
        <family val="0"/>
        <b val="1"/>
        <color rgb="FF9C0006"/>
        <sz val="10"/>
      </font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30"/>
  </cols>
  <sheetData>
    <row r="2" customFormat="false" ht="21.6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1" customFormat="false" ht="15" hidden="false" customHeight="false" outlineLevel="0" collapsed="false">
      <c r="B11" s="3" t="s">
        <v>11</v>
      </c>
    </row>
    <row r="12" customFormat="false" ht="30" hidden="false" customHeight="true" outlineLevel="0" collapsed="false">
      <c r="B12" s="4" t="s">
        <v>12</v>
      </c>
      <c r="C12" s="5" t="s">
        <v>13</v>
      </c>
    </row>
    <row r="13" customFormat="false" ht="30" hidden="false" customHeight="true" outlineLevel="0" collapsed="false">
      <c r="B13" s="4" t="s">
        <v>14</v>
      </c>
      <c r="C13" s="5" t="s">
        <v>15</v>
      </c>
    </row>
    <row r="14" customFormat="false" ht="30" hidden="false" customHeight="true" outlineLevel="0" collapsed="false">
      <c r="B14" s="4" t="s">
        <v>16</v>
      </c>
      <c r="C14" s="5" t="s">
        <v>17</v>
      </c>
    </row>
    <row r="16" customFormat="false" ht="15" hidden="false" customHeight="false" outlineLevel="0" collapsed="false">
      <c r="B16" s="3" t="s">
        <v>18</v>
      </c>
    </row>
    <row r="17" customFormat="false" ht="15" hidden="false" customHeight="false" outlineLevel="0" collapsed="false">
      <c r="B17" s="6" t="s">
        <v>19</v>
      </c>
      <c r="C17" s="6" t="s">
        <v>20</v>
      </c>
      <c r="D17" s="6" t="s">
        <v>21</v>
      </c>
    </row>
    <row r="18" customFormat="false" ht="15" hidden="false" customHeight="false" outlineLevel="0" collapsed="false">
      <c r="B18" s="7" t="s">
        <v>22</v>
      </c>
      <c r="C18" s="8" t="s">
        <v>23</v>
      </c>
      <c r="D18" s="8" t="s">
        <v>24</v>
      </c>
    </row>
    <row r="19" customFormat="false" ht="15" hidden="false" customHeight="false" outlineLevel="0" collapsed="false">
      <c r="B19" s="7" t="s">
        <v>25</v>
      </c>
      <c r="C19" s="8" t="s">
        <v>26</v>
      </c>
      <c r="D19" s="8" t="s">
        <v>27</v>
      </c>
    </row>
    <row r="20" customFormat="false" ht="15" hidden="false" customHeight="false" outlineLevel="0" collapsed="false">
      <c r="B20" s="7" t="s">
        <v>28</v>
      </c>
      <c r="C20" s="8" t="s">
        <v>29</v>
      </c>
      <c r="D20" s="8" t="s">
        <v>30</v>
      </c>
    </row>
    <row r="21" customFormat="false" ht="15" hidden="false" customHeight="false" outlineLevel="0" collapsed="false">
      <c r="B21" s="7" t="s">
        <v>31</v>
      </c>
      <c r="C21" s="8" t="s">
        <v>32</v>
      </c>
      <c r="D21" s="8" t="s">
        <v>33</v>
      </c>
    </row>
    <row r="23" customFormat="false" ht="31.5" hidden="false" customHeight="true" outlineLevel="0" collapsed="false">
      <c r="B23" s="9" t="s">
        <v>34</v>
      </c>
      <c r="C23" s="9"/>
      <c r="D23" s="9"/>
    </row>
  </sheetData>
  <mergeCells count="3">
    <mergeCell ref="B2:D2"/>
    <mergeCell ref="B3:D3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8" min="2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9"/>
    <col collapsed="false" customWidth="true" hidden="false" outlineLevel="0" max="17" min="17" style="0" width="30"/>
  </cols>
  <sheetData>
    <row r="1" customFormat="false" ht="24" hidden="false" customHeight="true" outlineLevel="0" collapsed="false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customFormat="false" ht="19.5" hidden="false" customHeight="true" outlineLevel="0" collapsed="false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6" t="s">
        <v>51</v>
      </c>
      <c r="Q2" s="6" t="s">
        <v>52</v>
      </c>
    </row>
    <row r="3" customFormat="false" ht="15.75" hidden="false" customHeight="true" outlineLevel="0" collapsed="false">
      <c r="A3" s="11" t="s">
        <v>53</v>
      </c>
      <c r="B3" s="12" t="n">
        <v>1243570.05</v>
      </c>
      <c r="C3" s="12" t="n">
        <v>392222.48</v>
      </c>
      <c r="D3" s="12" t="n">
        <v>69770.09</v>
      </c>
      <c r="E3" s="12" t="n">
        <v>0</v>
      </c>
      <c r="F3" s="13" t="n">
        <f aca="false">IF(COUNT(B3:E3)=0,"",B3-C3-D3-E3)</f>
        <v>781577.48</v>
      </c>
      <c r="G3" s="12" t="n">
        <v>803574.86</v>
      </c>
      <c r="H3" s="12" t="n">
        <v>290224.94</v>
      </c>
      <c r="I3" s="12" t="n">
        <v>45756</v>
      </c>
      <c r="J3" s="13" t="n">
        <f aca="false">IF(COUNT(G3:I3)=0,"",G3-H3-I3)</f>
        <v>467593.92</v>
      </c>
      <c r="K3" s="12" t="n">
        <v>48713.12</v>
      </c>
      <c r="L3" s="12" t="n">
        <v>98476.19</v>
      </c>
      <c r="M3" s="13" t="n">
        <f aca="false">IF(COUNT(G3:I3,K3,L3)=0,"",G3-H3-I3-K3-L3)</f>
        <v>320404.61</v>
      </c>
      <c r="N3" s="12" t="n">
        <v>355161.28</v>
      </c>
      <c r="O3" s="13" t="n">
        <f aca="false">IF(COUNT(G3:I3,K3,L3,N3)=0,"",G3-H3-I3-K3-L3-N3)</f>
        <v>-34756.67</v>
      </c>
      <c r="P3" s="14" t="n">
        <f aca="false">IF(OR(F3="",F3=0),"",O3/F3)</f>
        <v>-0.0444698969576248</v>
      </c>
      <c r="Q3" s="7" t="s">
        <v>54</v>
      </c>
    </row>
    <row r="4" customFormat="false" ht="15.75" hidden="false" customHeight="true" outlineLevel="0" collapsed="false">
      <c r="A4" s="11" t="s">
        <v>55</v>
      </c>
      <c r="B4" s="12" t="n">
        <v>1750389.92</v>
      </c>
      <c r="C4" s="12" t="n">
        <v>460097.36</v>
      </c>
      <c r="D4" s="12" t="n">
        <v>93574.29</v>
      </c>
      <c r="E4" s="12" t="n">
        <v>0</v>
      </c>
      <c r="F4" s="13" t="n">
        <f aca="false">IF(COUNT(B4:E4)=0,"",B4-C4-D4-E4)</f>
        <v>1196718.27</v>
      </c>
      <c r="G4" s="12" t="n">
        <v>1190646.65</v>
      </c>
      <c r="H4" s="12" t="n">
        <v>434869.87</v>
      </c>
      <c r="I4" s="12" t="n">
        <v>67513.3</v>
      </c>
      <c r="J4" s="13" t="n">
        <f aca="false">IF(COUNT(G4:I4)=0,"",G4-H4-I4)</f>
        <v>688263.48</v>
      </c>
      <c r="K4" s="12" t="n">
        <v>69612.57</v>
      </c>
      <c r="L4" s="12" t="n">
        <v>223473.15</v>
      </c>
      <c r="M4" s="13" t="n">
        <f aca="false">IF(COUNT(G4:I4,K4,L4)=0,"",G4-H4-I4-K4-L4)</f>
        <v>395177.76</v>
      </c>
      <c r="N4" s="12" t="n">
        <v>303821.23</v>
      </c>
      <c r="O4" s="13" t="n">
        <f aca="false">IF(COUNT(G4:I4,K4,L4,N4)=0,"",G4-H4-I4-K4-L4-N4)</f>
        <v>91356.5299999999</v>
      </c>
      <c r="P4" s="14" t="n">
        <f aca="false">IF(OR(F4="",F4=0),"",O4/F4)</f>
        <v>0.0763392122358088</v>
      </c>
      <c r="Q4" s="7"/>
    </row>
    <row r="5" customFormat="false" ht="15.75" hidden="false" customHeight="true" outlineLevel="0" collapsed="false">
      <c r="A5" s="11" t="s">
        <v>56</v>
      </c>
      <c r="B5" s="12" t="n">
        <v>2223992.43</v>
      </c>
      <c r="C5" s="12" t="n">
        <v>936182.5</v>
      </c>
      <c r="D5" s="12" t="n">
        <v>146134.1</v>
      </c>
      <c r="E5" s="12" t="n">
        <v>0</v>
      </c>
      <c r="F5" s="13" t="n">
        <f aca="false">IF(COUNT(B5:E5)=0,"",B5-C5-D5-E5)</f>
        <v>1141675.83</v>
      </c>
      <c r="G5" s="12" t="n">
        <v>1228488.71</v>
      </c>
      <c r="H5" s="12" t="n">
        <v>451292.84</v>
      </c>
      <c r="I5" s="12" t="n">
        <v>72905.43</v>
      </c>
      <c r="J5" s="13" t="n">
        <f aca="false">IF(COUNT(G5:I5)=0,"",G5-H5-I5)</f>
        <v>704290.44</v>
      </c>
      <c r="K5" s="12" t="n">
        <v>87727.42</v>
      </c>
      <c r="L5" s="12" t="n">
        <v>187899.17</v>
      </c>
      <c r="M5" s="13" t="n">
        <f aca="false">IF(COUNT(G5:I5,K5,L5)=0,"",G5-H5-I5-K5-L5)</f>
        <v>428663.85</v>
      </c>
      <c r="N5" s="12" t="n">
        <v>321384.53</v>
      </c>
      <c r="O5" s="13" t="n">
        <f aca="false">IF(COUNT(G5:I5,K5,L5,N5)=0,"",G5-H5-I5-K5-L5-N5)</f>
        <v>107279.32</v>
      </c>
      <c r="P5" s="14" t="n">
        <f aca="false">IF(OR(F5="",F5=0),"",O5/F5)</f>
        <v>0.09396653338978</v>
      </c>
      <c r="Q5" s="7"/>
    </row>
    <row r="6" customFormat="false" ht="15.75" hidden="false" customHeight="true" outlineLevel="0" collapsed="false">
      <c r="A6" s="11" t="s">
        <v>57</v>
      </c>
      <c r="B6" s="12" t="n">
        <v>3340707.49</v>
      </c>
      <c r="C6" s="12" t="n">
        <v>1499147.32</v>
      </c>
      <c r="D6" s="12" t="n">
        <v>166001.84</v>
      </c>
      <c r="E6" s="12" t="n">
        <v>0</v>
      </c>
      <c r="F6" s="13" t="n">
        <f aca="false">IF(COUNT(B6:E6)=0,"",B6-C6-D6-E6)</f>
        <v>1675558.33</v>
      </c>
      <c r="G6" s="12" t="n">
        <v>1699672.2</v>
      </c>
      <c r="H6" s="12" t="n">
        <v>621347.87</v>
      </c>
      <c r="I6" s="12" t="n">
        <v>141462.08</v>
      </c>
      <c r="J6" s="13" t="n">
        <f aca="false">IF(COUNT(G6:I6)=0,"",G6-H6-I6)</f>
        <v>936862.25</v>
      </c>
      <c r="K6" s="12" t="n">
        <v>107062.47</v>
      </c>
      <c r="L6" s="12" t="n">
        <v>107741.01</v>
      </c>
      <c r="M6" s="13" t="n">
        <f aca="false">IF(COUNT(G6:I6,K6,L6)=0,"",G6-H6-I6-K6-L6)</f>
        <v>722058.77</v>
      </c>
      <c r="N6" s="12" t="n">
        <v>341236.18</v>
      </c>
      <c r="O6" s="13" t="n">
        <f aca="false">IF(COUNT(G6:I6,K6,L6,N6)=0,"",G6-H6-I6-K6-L6-N6)</f>
        <v>380822.59</v>
      </c>
      <c r="P6" s="14" t="n">
        <f aca="false">IF(OR(F6="",F6=0),"",O6/F6)</f>
        <v>0.227281010264799</v>
      </c>
      <c r="Q6" s="7"/>
    </row>
    <row r="7" customFormat="false" ht="15.75" hidden="false" customHeight="true" outlineLevel="0" collapsed="false">
      <c r="A7" s="11" t="s">
        <v>58</v>
      </c>
      <c r="B7" s="12" t="n">
        <v>1924913.99</v>
      </c>
      <c r="C7" s="12" t="n">
        <v>557389.72</v>
      </c>
      <c r="D7" s="12" t="n">
        <v>59914.28</v>
      </c>
      <c r="E7" s="12" t="n">
        <v>0</v>
      </c>
      <c r="F7" s="13" t="n">
        <f aca="false">IF(COUNT(B7:E7)=0,"",B7-C7-D7-E7)</f>
        <v>1307609.99</v>
      </c>
      <c r="G7" s="12" t="n">
        <v>1145494.1</v>
      </c>
      <c r="H7" s="12" t="n">
        <v>462525.13</v>
      </c>
      <c r="I7" s="12" t="n">
        <v>79992</v>
      </c>
      <c r="J7" s="13" t="n">
        <f aca="false">IF(COUNT(G7:I7)=0,"",G7-H7-I7)</f>
        <v>602976.97</v>
      </c>
      <c r="K7" s="12" t="n">
        <v>64057.98</v>
      </c>
      <c r="L7" s="12" t="n">
        <v>132362.53</v>
      </c>
      <c r="M7" s="13" t="n">
        <f aca="false">IF(COUNT(G7:I7,K7,L7)=0,"",G7-H7-I7-K7-L7)</f>
        <v>406556.46</v>
      </c>
      <c r="N7" s="12" t="n">
        <v>285211.81</v>
      </c>
      <c r="O7" s="13" t="n">
        <f aca="false">IF(COUNT(G7:I7,K7,L7,N7)=0,"",G7-H7-I7-K7-L7-N7)</f>
        <v>121344.65</v>
      </c>
      <c r="P7" s="14" t="n">
        <f aca="false">IF(OR(F7="",F7=0),"",O7/F7)</f>
        <v>0.0927988092229244</v>
      </c>
      <c r="Q7" s="7"/>
    </row>
    <row r="8" customFormat="false" ht="15.75" hidden="false" customHeight="true" outlineLevel="0" collapsed="false">
      <c r="A8" s="11" t="s">
        <v>59</v>
      </c>
      <c r="B8" s="12" t="n">
        <v>1723220.11</v>
      </c>
      <c r="C8" s="12" t="n">
        <v>404850.62</v>
      </c>
      <c r="D8" s="12" t="n">
        <v>60834.61</v>
      </c>
      <c r="E8" s="12" t="n">
        <v>0</v>
      </c>
      <c r="F8" s="13" t="n">
        <f aca="false">IF(COUNT(B8:E8)=0,"",B8-C8-D8-E8)</f>
        <v>1257534.88</v>
      </c>
      <c r="G8" s="12" t="n">
        <v>1368386.32</v>
      </c>
      <c r="H8" s="12" t="n">
        <v>522878.58</v>
      </c>
      <c r="I8" s="12" t="n">
        <v>91837.38</v>
      </c>
      <c r="J8" s="13" t="n">
        <f aca="false">IF(COUNT(G8:I8)=0,"",G8-H8-I8)</f>
        <v>753670.36</v>
      </c>
      <c r="K8" s="12" t="n">
        <v>59998.07</v>
      </c>
      <c r="L8" s="12" t="n">
        <v>39674.26</v>
      </c>
      <c r="M8" s="13" t="n">
        <f aca="false">IF(COUNT(G8:I8,K8,L8)=0,"",G8-H8-I8-K8-L8)</f>
        <v>653998.03</v>
      </c>
      <c r="N8" s="12" t="n">
        <v>321897.26</v>
      </c>
      <c r="O8" s="13" t="n">
        <f aca="false">IF(COUNT(G8:I8,K8,L8,N8)=0,"",G8-H8-I8-K8-L8-N8)</f>
        <v>332100.77</v>
      </c>
      <c r="P8" s="14" t="n">
        <f aca="false">IF(OR(F8="",F8=0),"",O8/F8)</f>
        <v>0.264088714581022</v>
      </c>
      <c r="Q8" s="7" t="s">
        <v>60</v>
      </c>
    </row>
    <row r="9" customFormat="false" ht="15.75" hidden="false" customHeight="true" outlineLevel="0" collapsed="false">
      <c r="A9" s="11" t="s">
        <v>61</v>
      </c>
      <c r="B9" s="12" t="n">
        <v>1972788.46</v>
      </c>
      <c r="C9" s="12" t="n">
        <v>687641.14</v>
      </c>
      <c r="D9" s="12" t="n">
        <v>37807.44</v>
      </c>
      <c r="E9" s="12" t="n">
        <v>0</v>
      </c>
      <c r="F9" s="13" t="n">
        <f aca="false">IF(COUNT(B9:E9)=0,"",B9-C9-D9-E9)</f>
        <v>1247339.88</v>
      </c>
      <c r="G9" s="12" t="n">
        <v>1214601.63</v>
      </c>
      <c r="H9" s="12" t="n">
        <v>455207.69</v>
      </c>
      <c r="I9" s="12" t="n">
        <v>74522.81</v>
      </c>
      <c r="J9" s="13" t="n">
        <f aca="false">IF(COUNT(G9:I9)=0,"",G9-H9-I9)</f>
        <v>684871.13</v>
      </c>
      <c r="K9" s="12" t="n">
        <v>78870.95</v>
      </c>
      <c r="L9" s="12" t="n">
        <v>102325.56</v>
      </c>
      <c r="M9" s="13" t="n">
        <f aca="false">IF(COUNT(G9:I9,K9,L9)=0,"",G9-H9-I9-K9-L9)</f>
        <v>503674.62</v>
      </c>
      <c r="N9" s="12" t="n">
        <v>342773.54</v>
      </c>
      <c r="O9" s="13" t="n">
        <f aca="false">IF(COUNT(G9:I9,K9,L9,N9)=0,"",G9-H9-I9-K9-L9-N9)</f>
        <v>160901.08</v>
      </c>
      <c r="P9" s="14" t="n">
        <f aca="false">IF(OR(F9="",F9=0),"",O9/F9)</f>
        <v>0.128995378549109</v>
      </c>
      <c r="Q9" s="7"/>
    </row>
    <row r="10" customFormat="false" ht="15.75" hidden="false" customHeight="true" outlineLevel="0" collapsed="false">
      <c r="A10" s="11" t="s">
        <v>62</v>
      </c>
      <c r="B10" s="12" t="n">
        <v>1029204.17</v>
      </c>
      <c r="C10" s="12" t="n">
        <v>341980.86</v>
      </c>
      <c r="D10" s="12" t="n">
        <v>18084.66</v>
      </c>
      <c r="E10" s="12" t="n">
        <v>0</v>
      </c>
      <c r="F10" s="13" t="n">
        <f aca="false">IF(COUNT(B10:E10)=0,"",B10-C10-D10-E10)</f>
        <v>669138.65</v>
      </c>
      <c r="G10" s="12" t="n">
        <v>701538.76</v>
      </c>
      <c r="H10" s="12" t="n">
        <v>259165.03</v>
      </c>
      <c r="I10" s="12" t="n">
        <v>37026.7</v>
      </c>
      <c r="J10" s="13" t="n">
        <f aca="false">IF(COUNT(G10:I10)=0,"",G10-H10-I10)</f>
        <v>405347.03</v>
      </c>
      <c r="K10" s="12" t="n">
        <v>42731.34</v>
      </c>
      <c r="L10" s="12" t="n">
        <v>48573.31</v>
      </c>
      <c r="M10" s="13" t="n">
        <f aca="false">IF(COUNT(G10:I10,K10,L10)=0,"",G10-H10-I10-K10-L10)</f>
        <v>314042.38</v>
      </c>
      <c r="N10" s="12" t="n">
        <v>330609.81</v>
      </c>
      <c r="O10" s="13" t="n">
        <f aca="false">IF(COUNT(G10:I10,K10,L10,N10)=0,"",G10-H10-I10-K10-L10-N10)</f>
        <v>-16567.4300000001</v>
      </c>
      <c r="P10" s="14" t="n">
        <f aca="false">IF(OR(F10="",F10=0),"",O10/F10)</f>
        <v>-0.0247593379937029</v>
      </c>
      <c r="Q10" s="7"/>
    </row>
    <row r="11" customFormat="false" ht="15.75" hidden="false" customHeight="true" outlineLevel="0" collapsed="false">
      <c r="A11" s="11" t="s">
        <v>63</v>
      </c>
      <c r="B11" s="12" t="n">
        <v>972127.09</v>
      </c>
      <c r="C11" s="12" t="n">
        <v>466458.12</v>
      </c>
      <c r="D11" s="12" t="n">
        <v>49156.1</v>
      </c>
      <c r="E11" s="12" t="n">
        <v>0</v>
      </c>
      <c r="F11" s="13" t="n">
        <f aca="false">IF(COUNT(B11:E11)=0,"",B11-C11-D11-E11)</f>
        <v>456512.87</v>
      </c>
      <c r="G11" s="12" t="n">
        <v>526623.96</v>
      </c>
      <c r="H11" s="12" t="n">
        <v>187023.76</v>
      </c>
      <c r="I11" s="12" t="n">
        <v>40239.3</v>
      </c>
      <c r="J11" s="13" t="n">
        <f aca="false">IF(COUNT(G11:I11)=0,"",G11-H11-I11)</f>
        <v>299360.9</v>
      </c>
      <c r="K11" s="12" t="n">
        <v>41740.77</v>
      </c>
      <c r="L11" s="12" t="n">
        <v>26977.82</v>
      </c>
      <c r="M11" s="13" t="n">
        <f aca="false">IF(COUNT(G11:I11,K11,L11)=0,"",G11-H11-I11-K11-L11)</f>
        <v>230642.31</v>
      </c>
      <c r="N11" s="12" t="n">
        <v>313246.68</v>
      </c>
      <c r="O11" s="13" t="n">
        <f aca="false">IF(COUNT(G11:I11,K11,L11,N11)=0,"",G11-H11-I11-K11-L11-N11)</f>
        <v>-82604.37</v>
      </c>
      <c r="P11" s="14" t="n">
        <f aca="false">IF(OR(F11="",F11=0),"",O11/F11)</f>
        <v>-0.180946421072422</v>
      </c>
      <c r="Q11" s="7" t="s">
        <v>64</v>
      </c>
    </row>
    <row r="12" customFormat="false" ht="15.75" hidden="false" customHeight="true" outlineLevel="0" collapsed="false">
      <c r="A12" s="11" t="s">
        <v>65</v>
      </c>
      <c r="B12" s="12" t="n">
        <v>1438852.79</v>
      </c>
      <c r="C12" s="12" t="n">
        <v>632403.9</v>
      </c>
      <c r="D12" s="12" t="n">
        <v>64327.42</v>
      </c>
      <c r="E12" s="12" t="n">
        <v>0</v>
      </c>
      <c r="F12" s="13" t="n">
        <f aca="false">IF(COUNT(B12:E12)=0,"",B12-C12-D12-E12)</f>
        <v>742121.47</v>
      </c>
      <c r="G12" s="12" t="n">
        <v>781150.52</v>
      </c>
      <c r="H12" s="12" t="n">
        <v>288535</v>
      </c>
      <c r="I12" s="12" t="n">
        <v>58318.7</v>
      </c>
      <c r="J12" s="13" t="n">
        <f aca="false">IF(COUNT(G12:I12)=0,"",G12-H12-I12)</f>
        <v>434296.82</v>
      </c>
      <c r="K12" s="12" t="n">
        <v>62079.77</v>
      </c>
      <c r="L12" s="12" t="n">
        <v>173355.69</v>
      </c>
      <c r="M12" s="13" t="n">
        <f aca="false">IF(COUNT(G12:I12,K12,L12)=0,"",G12-H12-I12-K12-L12)</f>
        <v>198861.36</v>
      </c>
      <c r="N12" s="12" t="n">
        <v>331726.96</v>
      </c>
      <c r="O12" s="13" t="n">
        <f aca="false">IF(COUNT(G12:I12,K12,L12,N12)=0,"",G12-H12-I12-K12-L12-N12)</f>
        <v>-132865.6</v>
      </c>
      <c r="P12" s="14" t="n">
        <f aca="false">IF(OR(F12="",F12=0),"",O12/F12)</f>
        <v>-0.179034841829869</v>
      </c>
      <c r="Q12" s="7"/>
    </row>
    <row r="13" customFormat="false" ht="15.75" hidden="false" customHeight="true" outlineLevel="0" collapsed="false">
      <c r="A13" s="11" t="s">
        <v>66</v>
      </c>
      <c r="B13" s="12" t="n">
        <v>1089919.9</v>
      </c>
      <c r="C13" s="12" t="n">
        <v>341921.91</v>
      </c>
      <c r="D13" s="12" t="n">
        <v>81225.94</v>
      </c>
      <c r="E13" s="12" t="n">
        <v>0</v>
      </c>
      <c r="F13" s="13" t="n">
        <f aca="false">IF(COUNT(B13:E13)=0,"",B13-C13-D13-E13)</f>
        <v>666772.05</v>
      </c>
      <c r="G13" s="12" t="n">
        <v>858156.48</v>
      </c>
      <c r="H13" s="12" t="n">
        <v>393585.93</v>
      </c>
      <c r="I13" s="12" t="n">
        <v>59431.55</v>
      </c>
      <c r="J13" s="13" t="n">
        <f aca="false">IF(COUNT(G13:I13)=0,"",G13-H13-I13)</f>
        <v>405139</v>
      </c>
      <c r="K13" s="12" t="n">
        <v>48237.61</v>
      </c>
      <c r="L13" s="12" t="n">
        <v>162680.16</v>
      </c>
      <c r="M13" s="13" t="n">
        <f aca="false">IF(COUNT(G13:I13,K13,L13)=0,"",G13-H13-I13-K13-L13)</f>
        <v>194221.23</v>
      </c>
      <c r="N13" s="12" t="n">
        <v>370953.33</v>
      </c>
      <c r="O13" s="13" t="n">
        <f aca="false">IF(COUNT(G13:I13,K13,L13,N13)=0,"",G13-H13-I13-K13-L13-N13)</f>
        <v>-176732.1</v>
      </c>
      <c r="P13" s="14" t="n">
        <f aca="false">IF(OR(F13="",F13=0),"",O13/F13)</f>
        <v>-0.265056251233086</v>
      </c>
      <c r="Q13" s="7" t="s">
        <v>67</v>
      </c>
    </row>
    <row r="14" customFormat="false" ht="15.75" hidden="false" customHeight="true" outlineLevel="0" collapsed="false">
      <c r="A14" s="11" t="s">
        <v>68</v>
      </c>
      <c r="B14" s="12" t="n">
        <v>1360147.86</v>
      </c>
      <c r="C14" s="12" t="n">
        <v>419448.59</v>
      </c>
      <c r="D14" s="12" t="n">
        <v>283132.57</v>
      </c>
      <c r="E14" s="12" t="n">
        <v>0</v>
      </c>
      <c r="F14" s="13" t="n">
        <f aca="false">IF(COUNT(B14:E14)=0,"",B14-C14-D14-E14)</f>
        <v>657566.7</v>
      </c>
      <c r="G14" s="12" t="n">
        <v>780846.63</v>
      </c>
      <c r="H14" s="12" t="n">
        <v>285135.48</v>
      </c>
      <c r="I14" s="12" t="n">
        <v>55968.18</v>
      </c>
      <c r="J14" s="13" t="n">
        <f aca="false">IF(COUNT(G14:I14)=0,"",G14-H14-I14)</f>
        <v>439742.97</v>
      </c>
      <c r="K14" s="12" t="n">
        <v>31009.8</v>
      </c>
      <c r="L14" s="12" t="n">
        <v>10889.02</v>
      </c>
      <c r="M14" s="13" t="n">
        <f aca="false">IF(COUNT(G14:I14,K14,L14)=0,"",G14-H14-I14-K14-L14)</f>
        <v>397844.15</v>
      </c>
      <c r="N14" s="12" t="n">
        <v>389033.64</v>
      </c>
      <c r="O14" s="13" t="n">
        <f aca="false">IF(COUNT(G14:I14,K14,L14,N14)=0,"",G14-H14-I14-K14-L14-N14)</f>
        <v>8810.51000000001</v>
      </c>
      <c r="P14" s="14" t="n">
        <f aca="false">IF(OR(F14="",F14=0),"",O14/F14)</f>
        <v>0.0133986559842523</v>
      </c>
      <c r="Q14" s="7" t="s">
        <v>69</v>
      </c>
    </row>
    <row r="15" customFormat="false" ht="15.75" hidden="false" customHeight="true" outlineLevel="0" collapsed="false">
      <c r="A15" s="11"/>
      <c r="B15" s="12"/>
      <c r="C15" s="12"/>
      <c r="D15" s="12"/>
      <c r="E15" s="12"/>
      <c r="F15" s="13" t="str">
        <f aca="false">IF(COUNT(B15:E15)=0,"",B15-C15-D15-E15)</f>
        <v/>
      </c>
      <c r="G15" s="12"/>
      <c r="H15" s="12"/>
      <c r="I15" s="12"/>
      <c r="J15" s="13" t="str">
        <f aca="false">IF(COUNT(G15:I15)=0,"",G15-H15-I15)</f>
        <v/>
      </c>
      <c r="K15" s="12"/>
      <c r="L15" s="12"/>
      <c r="M15" s="13" t="str">
        <f aca="false">IF(COUNT(G15:I15,K15,L15)=0,"",G15-H15-I15-K15-L15)</f>
        <v/>
      </c>
      <c r="N15" s="12"/>
      <c r="O15" s="13" t="str">
        <f aca="false">IF(COUNT(G15:I15,K15,L15,N15)=0,"",G15-H15-I15-K15-L15-N15)</f>
        <v/>
      </c>
      <c r="P15" s="14" t="str">
        <f aca="false">IF(OR(F15="",F15=0),"",O15/F15)</f>
        <v/>
      </c>
      <c r="Q15" s="7"/>
    </row>
    <row r="16" customFormat="false" ht="15.75" hidden="false" customHeight="true" outlineLevel="0" collapsed="false">
      <c r="A16" s="11"/>
      <c r="B16" s="12"/>
      <c r="C16" s="12"/>
      <c r="D16" s="12"/>
      <c r="E16" s="12"/>
      <c r="F16" s="13" t="str">
        <f aca="false">IF(COUNT(B16:E16)=0,"",B16-C16-D16-E16)</f>
        <v/>
      </c>
      <c r="G16" s="12"/>
      <c r="H16" s="12"/>
      <c r="I16" s="12"/>
      <c r="J16" s="13" t="str">
        <f aca="false">IF(COUNT(G16:I16)=0,"",G16-H16-I16)</f>
        <v/>
      </c>
      <c r="K16" s="12"/>
      <c r="L16" s="12"/>
      <c r="M16" s="13" t="str">
        <f aca="false">IF(COUNT(G16:I16,K16,L16)=0,"",G16-H16-I16-K16-L16)</f>
        <v/>
      </c>
      <c r="N16" s="12"/>
      <c r="O16" s="13" t="str">
        <f aca="false">IF(COUNT(G16:I16,K16,L16,N16)=0,"",G16-H16-I16-K16-L16-N16)</f>
        <v/>
      </c>
      <c r="P16" s="14" t="str">
        <f aca="false">IF(OR(F16="",F16=0),"",O16/F16)</f>
        <v/>
      </c>
      <c r="Q16" s="7"/>
    </row>
    <row r="17" customFormat="false" ht="15.75" hidden="false" customHeight="true" outlineLevel="0" collapsed="false">
      <c r="A17" s="11"/>
      <c r="B17" s="12"/>
      <c r="C17" s="12"/>
      <c r="D17" s="12"/>
      <c r="E17" s="12"/>
      <c r="F17" s="13" t="str">
        <f aca="false">IF(COUNT(B17:E17)=0,"",B17-C17-D17-E17)</f>
        <v/>
      </c>
      <c r="G17" s="12"/>
      <c r="H17" s="12"/>
      <c r="I17" s="12"/>
      <c r="J17" s="13" t="str">
        <f aca="false">IF(COUNT(G17:I17)=0,"",G17-H17-I17)</f>
        <v/>
      </c>
      <c r="K17" s="12"/>
      <c r="L17" s="12"/>
      <c r="M17" s="13" t="str">
        <f aca="false">IF(COUNT(G17:I17,K17,L17)=0,"",G17-H17-I17-K17-L17)</f>
        <v/>
      </c>
      <c r="N17" s="12"/>
      <c r="O17" s="13" t="str">
        <f aca="false">IF(COUNT(G17:I17,K17,L17,N17)=0,"",G17-H17-I17-K17-L17-N17)</f>
        <v/>
      </c>
      <c r="P17" s="14" t="str">
        <f aca="false">IF(OR(F17="",F17=0),"",O17/F17)</f>
        <v/>
      </c>
      <c r="Q17" s="7"/>
    </row>
    <row r="18" customFormat="false" ht="15.75" hidden="false" customHeight="true" outlineLevel="0" collapsed="false">
      <c r="A18" s="11"/>
      <c r="B18" s="12"/>
      <c r="C18" s="12"/>
      <c r="D18" s="12"/>
      <c r="E18" s="12"/>
      <c r="F18" s="13" t="str">
        <f aca="false">IF(COUNT(B18:E18)=0,"",B18-C18-D18-E18)</f>
        <v/>
      </c>
      <c r="G18" s="12"/>
      <c r="H18" s="12"/>
      <c r="I18" s="12"/>
      <c r="J18" s="13" t="str">
        <f aca="false">IF(COUNT(G18:I18)=0,"",G18-H18-I18)</f>
        <v/>
      </c>
      <c r="K18" s="12"/>
      <c r="L18" s="12"/>
      <c r="M18" s="13" t="str">
        <f aca="false">IF(COUNT(G18:I18,K18,L18)=0,"",G18-H18-I18-K18-L18)</f>
        <v/>
      </c>
      <c r="N18" s="12"/>
      <c r="O18" s="13" t="str">
        <f aca="false">IF(COUNT(G18:I18,K18,L18,N18)=0,"",G18-H18-I18-K18-L18-N18)</f>
        <v/>
      </c>
      <c r="P18" s="14" t="str">
        <f aca="false">IF(OR(F18="",F18=0),"",O18/F18)</f>
        <v/>
      </c>
      <c r="Q18" s="7"/>
    </row>
    <row r="19" customFormat="false" ht="15.75" hidden="false" customHeight="true" outlineLevel="0" collapsed="false">
      <c r="A19" s="11"/>
      <c r="B19" s="12"/>
      <c r="C19" s="12"/>
      <c r="D19" s="12"/>
      <c r="E19" s="12"/>
      <c r="F19" s="13" t="str">
        <f aca="false">IF(COUNT(B19:E19)=0,"",B19-C19-D19-E19)</f>
        <v/>
      </c>
      <c r="G19" s="12"/>
      <c r="H19" s="12"/>
      <c r="I19" s="12"/>
      <c r="J19" s="13" t="str">
        <f aca="false">IF(COUNT(G19:I19)=0,"",G19-H19-I19)</f>
        <v/>
      </c>
      <c r="K19" s="12"/>
      <c r="L19" s="12"/>
      <c r="M19" s="13" t="str">
        <f aca="false">IF(COUNT(G19:I19,K19,L19)=0,"",G19-H19-I19-K19-L19)</f>
        <v/>
      </c>
      <c r="N19" s="12"/>
      <c r="O19" s="13" t="str">
        <f aca="false">IF(COUNT(G19:I19,K19,L19,N19)=0,"",G19-H19-I19-K19-L19-N19)</f>
        <v/>
      </c>
      <c r="P19" s="14" t="str">
        <f aca="false">IF(OR(F19="",F19=0),"",O19/F19)</f>
        <v/>
      </c>
      <c r="Q19" s="7"/>
    </row>
    <row r="20" customFormat="false" ht="15.75" hidden="false" customHeight="true" outlineLevel="0" collapsed="false">
      <c r="A20" s="11"/>
      <c r="B20" s="12"/>
      <c r="C20" s="12"/>
      <c r="D20" s="12"/>
      <c r="E20" s="12"/>
      <c r="F20" s="13" t="str">
        <f aca="false">IF(COUNT(B20:E20)=0,"",B20-C20-D20-E20)</f>
        <v/>
      </c>
      <c r="G20" s="12"/>
      <c r="H20" s="12"/>
      <c r="I20" s="12"/>
      <c r="J20" s="13" t="str">
        <f aca="false">IF(COUNT(G20:I20)=0,"",G20-H20-I20)</f>
        <v/>
      </c>
      <c r="K20" s="12"/>
      <c r="L20" s="12"/>
      <c r="M20" s="13" t="str">
        <f aca="false">IF(COUNT(G20:I20,K20,L20)=0,"",G20-H20-I20-K20-L20)</f>
        <v/>
      </c>
      <c r="N20" s="12"/>
      <c r="O20" s="13" t="str">
        <f aca="false">IF(COUNT(G20:I20,K20,L20,N20)=0,"",G20-H20-I20-K20-L20-N20)</f>
        <v/>
      </c>
      <c r="P20" s="14" t="str">
        <f aca="false">IF(OR(F20="",F20=0),"",O20/F20)</f>
        <v/>
      </c>
      <c r="Q20" s="7"/>
    </row>
    <row r="21" customFormat="false" ht="15.75" hidden="false" customHeight="true" outlineLevel="0" collapsed="false">
      <c r="A21" s="11"/>
      <c r="B21" s="12"/>
      <c r="C21" s="12"/>
      <c r="D21" s="12"/>
      <c r="E21" s="12"/>
      <c r="F21" s="13" t="str">
        <f aca="false">IF(COUNT(B21:E21)=0,"",B21-C21-D21-E21)</f>
        <v/>
      </c>
      <c r="G21" s="12"/>
      <c r="H21" s="12"/>
      <c r="I21" s="12"/>
      <c r="J21" s="13" t="str">
        <f aca="false">IF(COUNT(G21:I21)=0,"",G21-H21-I21)</f>
        <v/>
      </c>
      <c r="K21" s="12"/>
      <c r="L21" s="12"/>
      <c r="M21" s="13" t="str">
        <f aca="false">IF(COUNT(G21:I21,K21,L21)=0,"",G21-H21-I21-K21-L21)</f>
        <v/>
      </c>
      <c r="N21" s="12"/>
      <c r="O21" s="13" t="str">
        <f aca="false">IF(COUNT(G21:I21,K21,L21,N21)=0,"",G21-H21-I21-K21-L21-N21)</f>
        <v/>
      </c>
      <c r="P21" s="14" t="str">
        <f aca="false">IF(OR(F21="",F21=0),"",O21/F21)</f>
        <v/>
      </c>
      <c r="Q21" s="7"/>
    </row>
    <row r="22" customFormat="false" ht="15.75" hidden="false" customHeight="true" outlineLevel="0" collapsed="false">
      <c r="A22" s="11"/>
      <c r="B22" s="12"/>
      <c r="C22" s="12"/>
      <c r="D22" s="12"/>
      <c r="E22" s="12"/>
      <c r="F22" s="13" t="str">
        <f aca="false">IF(COUNT(B22:E22)=0,"",B22-C22-D22-E22)</f>
        <v/>
      </c>
      <c r="G22" s="12"/>
      <c r="H22" s="12"/>
      <c r="I22" s="12"/>
      <c r="J22" s="13" t="str">
        <f aca="false">IF(COUNT(G22:I22)=0,"",G22-H22-I22)</f>
        <v/>
      </c>
      <c r="K22" s="12"/>
      <c r="L22" s="12"/>
      <c r="M22" s="13" t="str">
        <f aca="false">IF(COUNT(G22:I22,K22,L22)=0,"",G22-H22-I22-K22-L22)</f>
        <v/>
      </c>
      <c r="N22" s="12"/>
      <c r="O22" s="13" t="str">
        <f aca="false">IF(COUNT(G22:I22,K22,L22,N22)=0,"",G22-H22-I22-K22-L22-N22)</f>
        <v/>
      </c>
      <c r="P22" s="14" t="str">
        <f aca="false">IF(OR(F22="",F22=0),"",O22/F22)</f>
        <v/>
      </c>
      <c r="Q22" s="7"/>
    </row>
    <row r="23" customFormat="false" ht="15.75" hidden="false" customHeight="true" outlineLevel="0" collapsed="false">
      <c r="A23" s="11"/>
      <c r="B23" s="12"/>
      <c r="C23" s="12"/>
      <c r="D23" s="12"/>
      <c r="E23" s="12"/>
      <c r="F23" s="13" t="str">
        <f aca="false">IF(COUNT(B23:E23)=0,"",B23-C23-D23-E23)</f>
        <v/>
      </c>
      <c r="G23" s="12"/>
      <c r="H23" s="12"/>
      <c r="I23" s="12"/>
      <c r="J23" s="13" t="str">
        <f aca="false">IF(COUNT(G23:I23)=0,"",G23-H23-I23)</f>
        <v/>
      </c>
      <c r="K23" s="12"/>
      <c r="L23" s="12"/>
      <c r="M23" s="13" t="str">
        <f aca="false">IF(COUNT(G23:I23,K23,L23)=0,"",G23-H23-I23-K23-L23)</f>
        <v/>
      </c>
      <c r="N23" s="12"/>
      <c r="O23" s="13" t="str">
        <f aca="false">IF(COUNT(G23:I23,K23,L23,N23)=0,"",G23-H23-I23-K23-L23-N23)</f>
        <v/>
      </c>
      <c r="P23" s="14" t="str">
        <f aca="false">IF(OR(F23="",F23=0),"",O23/F23)</f>
        <v/>
      </c>
      <c r="Q23" s="7"/>
    </row>
    <row r="24" customFormat="false" ht="15.75" hidden="false" customHeight="true" outlineLevel="0" collapsed="false">
      <c r="A24" s="11"/>
      <c r="B24" s="12"/>
      <c r="C24" s="12"/>
      <c r="D24" s="12"/>
      <c r="E24" s="12"/>
      <c r="F24" s="13" t="str">
        <f aca="false">IF(COUNT(B24:E24)=0,"",B24-C24-D24-E24)</f>
        <v/>
      </c>
      <c r="G24" s="12"/>
      <c r="H24" s="12"/>
      <c r="I24" s="12"/>
      <c r="J24" s="13" t="str">
        <f aca="false">IF(COUNT(G24:I24)=0,"",G24-H24-I24)</f>
        <v/>
      </c>
      <c r="K24" s="12"/>
      <c r="L24" s="12"/>
      <c r="M24" s="13" t="str">
        <f aca="false">IF(COUNT(G24:I24,K24,L24)=0,"",G24-H24-I24-K24-L24)</f>
        <v/>
      </c>
      <c r="N24" s="12"/>
      <c r="O24" s="13" t="str">
        <f aca="false">IF(COUNT(G24:I24,K24,L24,N24)=0,"",G24-H24-I24-K24-L24-N24)</f>
        <v/>
      </c>
      <c r="P24" s="14" t="str">
        <f aca="false">IF(OR(F24="",F24=0),"",O24/F24)</f>
        <v/>
      </c>
      <c r="Q24" s="7"/>
    </row>
    <row r="25" customFormat="false" ht="15.75" hidden="false" customHeight="true" outlineLevel="0" collapsed="false">
      <c r="A25" s="11"/>
      <c r="B25" s="12"/>
      <c r="C25" s="12"/>
      <c r="D25" s="12"/>
      <c r="E25" s="12"/>
      <c r="F25" s="13" t="str">
        <f aca="false">IF(COUNT(B25:E25)=0,"",B25-C25-D25-E25)</f>
        <v/>
      </c>
      <c r="G25" s="12"/>
      <c r="H25" s="12"/>
      <c r="I25" s="12"/>
      <c r="J25" s="13" t="str">
        <f aca="false">IF(COUNT(G25:I25)=0,"",G25-H25-I25)</f>
        <v/>
      </c>
      <c r="K25" s="12"/>
      <c r="L25" s="12"/>
      <c r="M25" s="13" t="str">
        <f aca="false">IF(COUNT(G25:I25,K25,L25)=0,"",G25-H25-I25-K25-L25)</f>
        <v/>
      </c>
      <c r="N25" s="12"/>
      <c r="O25" s="13" t="str">
        <f aca="false">IF(COUNT(G25:I25,K25,L25,N25)=0,"",G25-H25-I25-K25-L25-N25)</f>
        <v/>
      </c>
      <c r="P25" s="14" t="str">
        <f aca="false">IF(OR(F25="",F25=0),"",O25/F25)</f>
        <v/>
      </c>
      <c r="Q25" s="7"/>
    </row>
    <row r="26" customFormat="false" ht="15.75" hidden="false" customHeight="true" outlineLevel="0" collapsed="false">
      <c r="A26" s="11"/>
      <c r="B26" s="12"/>
      <c r="C26" s="12"/>
      <c r="D26" s="12"/>
      <c r="E26" s="12"/>
      <c r="F26" s="13" t="str">
        <f aca="false">IF(COUNT(B26:E26)=0,"",B26-C26-D26-E26)</f>
        <v/>
      </c>
      <c r="G26" s="12"/>
      <c r="H26" s="12"/>
      <c r="I26" s="12"/>
      <c r="J26" s="13" t="str">
        <f aca="false">IF(COUNT(G26:I26)=0,"",G26-H26-I26)</f>
        <v/>
      </c>
      <c r="K26" s="12"/>
      <c r="L26" s="12"/>
      <c r="M26" s="13" t="str">
        <f aca="false">IF(COUNT(G26:I26,K26,L26)=0,"",G26-H26-I26-K26-L26)</f>
        <v/>
      </c>
      <c r="N26" s="12"/>
      <c r="O26" s="13" t="str">
        <f aca="false">IF(COUNT(G26:I26,K26,L26,N26)=0,"",G26-H26-I26-K26-L26-N26)</f>
        <v/>
      </c>
      <c r="P26" s="14" t="str">
        <f aca="false">IF(OR(F26="",F26=0),"",O26/F26)</f>
        <v/>
      </c>
      <c r="Q26" s="7"/>
    </row>
    <row r="27" customFormat="false" ht="19.5" hidden="false" customHeight="true" outlineLevel="0" collapsed="false">
      <c r="A27" s="15" t="s">
        <v>70</v>
      </c>
      <c r="B27" s="16" t="n">
        <f aca="false">SUM(B3:B26)</f>
        <v>20069834.26</v>
      </c>
      <c r="C27" s="16" t="n">
        <f aca="false">SUM(C3:C26)</f>
        <v>7139744.52</v>
      </c>
      <c r="D27" s="16" t="n">
        <f aca="false">SUM(D3:D26)</f>
        <v>1129963.34</v>
      </c>
      <c r="E27" s="16" t="n">
        <f aca="false">SUM(E3:E26)</f>
        <v>0</v>
      </c>
      <c r="F27" s="16" t="n">
        <f aca="false">SUM(F3:F26)</f>
        <v>11800126.4</v>
      </c>
      <c r="G27" s="16" t="n">
        <f aca="false">SUM(G3:G26)</f>
        <v>12299180.82</v>
      </c>
      <c r="H27" s="16" t="n">
        <f aca="false">SUM(H3:H26)</f>
        <v>4651792.12</v>
      </c>
      <c r="I27" s="16" t="n">
        <f aca="false">SUM(I3:I26)</f>
        <v>824973.43</v>
      </c>
      <c r="J27" s="16" t="n">
        <f aca="false">SUM(J3:J26)</f>
        <v>6822415.27</v>
      </c>
      <c r="K27" s="16" t="n">
        <f aca="false">SUM(K3:K26)</f>
        <v>741841.87</v>
      </c>
      <c r="L27" s="16" t="n">
        <f aca="false">SUM(L3:L26)</f>
        <v>1314427.87</v>
      </c>
      <c r="M27" s="16" t="n">
        <f aca="false">SUM(M3:M26)</f>
        <v>4766145.53</v>
      </c>
      <c r="N27" s="16" t="n">
        <f aca="false">SUM(N3:N26)</f>
        <v>4007056.25</v>
      </c>
      <c r="O27" s="16" t="n">
        <f aca="false">SUM(O3:O26)</f>
        <v>759089.28</v>
      </c>
      <c r="P27" s="17" t="n">
        <f aca="false">IF(OR(F27="",F27=0),"",O27/F27)</f>
        <v>0.0643289109174288</v>
      </c>
      <c r="Q27" s="18" t="s">
        <v>71</v>
      </c>
    </row>
  </sheetData>
  <autoFilter ref="A2:Q26"/>
  <mergeCells count="1">
    <mergeCell ref="A1:Q1"/>
  </mergeCells>
  <conditionalFormatting sqref="O3:O26">
    <cfRule type="cellIs" priority="2" operator="lessThan" aboveAverage="0" equalAverage="0" bottom="0" percent="0" rank="0" text="" dxfId="7">
      <formula>0</formula>
    </cfRule>
  </conditionalFormatting>
  <conditionalFormatting sqref="P3:P26">
    <cfRule type="cellIs" priority="3" operator="lessThan" aboveAverage="0" equalAverage="0" bottom="0" percent="0" rank="0" text="" dxfId="7">
      <formula>0</formula>
    </cfRule>
  </conditionalFormatting>
  <conditionalFormatting sqref="N3:N26">
    <cfRule type="expression" priority="4" aboveAverage="0" equalAverage="0" bottom="0" percent="0" rank="0" text="" dxfId="8">
      <formula>AND(N3&lt;&gt;"",F3&lt;&gt;"",N3/F3&gt;0.35)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40"/>
  </cols>
  <sheetData>
    <row r="2" customFormat="false" ht="21.6" hidden="false" customHeight="false" outlineLevel="0" collapsed="false">
      <c r="B2" s="1" t="s">
        <v>72</v>
      </c>
      <c r="C2" s="1"/>
      <c r="D2" s="1"/>
      <c r="E2" s="1"/>
    </row>
    <row r="3" customFormat="false" ht="15" hidden="false" customHeight="false" outlineLevel="0" collapsed="false">
      <c r="B3" s="2" t="s">
        <v>73</v>
      </c>
      <c r="C3" s="2"/>
      <c r="D3" s="2"/>
      <c r="E3" s="2"/>
    </row>
    <row r="5" customFormat="false" ht="15" hidden="false" customHeight="false" outlineLevel="0" collapsed="false">
      <c r="B5" s="3" t="s">
        <v>74</v>
      </c>
    </row>
    <row r="6" customFormat="false" ht="15" hidden="false" customHeight="false" outlineLevel="0" collapsed="false">
      <c r="B6" s="4" t="s">
        <v>75</v>
      </c>
      <c r="C6" s="5" t="s">
        <v>76</v>
      </c>
      <c r="D6" s="19" t="n">
        <v>657566.7</v>
      </c>
    </row>
    <row r="9" customFormat="false" ht="15" hidden="false" customHeight="false" outlineLevel="0" collapsed="false">
      <c r="B9" s="3" t="s">
        <v>77</v>
      </c>
    </row>
    <row r="10" customFormat="false" ht="19.5" hidden="false" customHeight="true" outlineLevel="0" collapsed="false">
      <c r="B10" s="6" t="s">
        <v>19</v>
      </c>
      <c r="C10" s="6" t="s">
        <v>78</v>
      </c>
      <c r="D10" s="6" t="s">
        <v>79</v>
      </c>
      <c r="E10" s="6" t="s">
        <v>80</v>
      </c>
    </row>
    <row r="11" customFormat="false" ht="18" hidden="false" customHeight="true" outlineLevel="0" collapsed="false">
      <c r="B11" s="20" t="s">
        <v>81</v>
      </c>
      <c r="C11" s="21" t="s">
        <v>82</v>
      </c>
      <c r="D11" s="22" t="n">
        <f aca="false">COUNT(表1口径底表!F3:F26)</f>
        <v>12</v>
      </c>
      <c r="E11" s="21" t="s">
        <v>83</v>
      </c>
    </row>
    <row r="12" customFormat="false" ht="18" hidden="false" customHeight="true" outlineLevel="0" collapsed="false">
      <c r="B12" s="20" t="s">
        <v>84</v>
      </c>
      <c r="C12" s="21" t="s">
        <v>85</v>
      </c>
      <c r="D12" s="13" t="n">
        <f aca="false">SUM(表1口径底表!F3:F26)</f>
        <v>11800126.4</v>
      </c>
      <c r="E12" s="21"/>
    </row>
    <row r="13" customFormat="false" ht="18" hidden="false" customHeight="true" outlineLevel="0" collapsed="false">
      <c r="B13" s="20" t="s">
        <v>86</v>
      </c>
      <c r="C13" s="21" t="s">
        <v>87</v>
      </c>
      <c r="D13" s="13" t="n">
        <f aca="false">SUM(表1口径底表!M3:M26)</f>
        <v>4766145.53</v>
      </c>
      <c r="E13" s="21"/>
    </row>
    <row r="14" customFormat="false" ht="18" hidden="false" customHeight="true" outlineLevel="0" collapsed="false">
      <c r="B14" s="20" t="s">
        <v>88</v>
      </c>
      <c r="C14" s="21" t="s">
        <v>89</v>
      </c>
      <c r="D14" s="14" t="n">
        <f aca="false">IF(OR(D12="",D12=0),"",D13/D12)</f>
        <v>0.403906311545951</v>
      </c>
      <c r="E14" s="21" t="s">
        <v>90</v>
      </c>
    </row>
    <row r="15" customFormat="false" ht="18" hidden="false" customHeight="true" outlineLevel="0" collapsed="false">
      <c r="B15" s="20" t="s">
        <v>91</v>
      </c>
      <c r="C15" s="21" t="s">
        <v>92</v>
      </c>
      <c r="D15" s="13" t="n">
        <f aca="false">IF(OR(D11="",D11=0),"",SUM(表1口径底表!N3:N26)/D11)</f>
        <v>333921.354166667</v>
      </c>
      <c r="E15" s="21" t="s">
        <v>93</v>
      </c>
    </row>
    <row r="16" customFormat="false" ht="18" hidden="false" customHeight="true" outlineLevel="0" collapsed="false">
      <c r="B16" s="23" t="s">
        <v>94</v>
      </c>
      <c r="C16" s="21" t="s">
        <v>95</v>
      </c>
      <c r="D16" s="24" t="n">
        <f aca="false">IF(OR(D14="",D14=0),"",D15/D14)</f>
        <v>826729.725734127</v>
      </c>
      <c r="E16" s="21" t="s">
        <v>96</v>
      </c>
    </row>
    <row r="17" customFormat="false" ht="18" hidden="false" customHeight="true" outlineLevel="0" collapsed="false">
      <c r="B17" s="20" t="s">
        <v>97</v>
      </c>
      <c r="C17" s="21" t="s">
        <v>98</v>
      </c>
      <c r="D17" s="12" t="n">
        <f aca="false">D6</f>
        <v>657566.7</v>
      </c>
      <c r="E17" s="21"/>
    </row>
    <row r="18" customFormat="false" ht="18" hidden="false" customHeight="true" outlineLevel="0" collapsed="false">
      <c r="B18" s="20" t="s">
        <v>99</v>
      </c>
      <c r="C18" s="21" t="s">
        <v>100</v>
      </c>
      <c r="D18" s="13" t="n">
        <f aca="false">IF(OR(D17="",D16=""),"",D17-D16)</f>
        <v>-169163.025734127</v>
      </c>
      <c r="E18" s="21" t="s">
        <v>101</v>
      </c>
    </row>
    <row r="19" customFormat="false" ht="18" hidden="false" customHeight="true" outlineLevel="0" collapsed="false">
      <c r="B19" s="23" t="s">
        <v>102</v>
      </c>
      <c r="C19" s="21" t="s">
        <v>103</v>
      </c>
      <c r="D19" s="25" t="str">
        <f aca="false">IF(D18="","",IF(D18&gt;=0,"安全：净收入已在保本线上","预警：先砍固定成本，别加投放"))</f>
        <v>预警：先砍固定成本，别加投放</v>
      </c>
      <c r="E19" s="21" t="s">
        <v>104</v>
      </c>
    </row>
  </sheetData>
  <mergeCells count="2">
    <mergeCell ref="B2:E2"/>
    <mergeCell ref="B3:E3"/>
  </mergeCells>
  <conditionalFormatting sqref="D18">
    <cfRule type="cellIs" priority="2" operator="lessThan" aboveAverage="0" equalAverage="0" bottom="0" percent="0" rank="0" text="" dxfId="9">
      <formula>0</formula>
    </cfRule>
  </conditionalFormatting>
  <conditionalFormatting sqref="D19">
    <cfRule type="expression" priority="3" aboveAverage="0" equalAverage="0" bottom="0" percent="0" rank="0" text="" dxfId="10">
      <formula>ISNUMBER(SEARCH("预警",D19))</formula>
    </cfRule>
    <cfRule type="expression" priority="4" aboveAverage="0" equalAverage="0" bottom="0" percent="0" rank="0" text="" dxfId="11">
      <formula>ISNUMBER(SEARCH("安全",D19))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5"/>
    <col collapsed="false" customWidth="true" hidden="false" outlineLevel="0" max="7" min="6" style="0" width="10"/>
    <col collapsed="false" customWidth="true" hidden="false" outlineLevel="0" max="8" min="8" style="0" width="20"/>
    <col collapsed="false" customWidth="true" hidden="false" outlineLevel="0" max="9" min="9" style="0" width="40"/>
  </cols>
  <sheetData>
    <row r="1" customFormat="false" ht="24" hidden="false" customHeight="true" outlineLevel="0" collapsed="false">
      <c r="A1" s="10" t="s">
        <v>105</v>
      </c>
      <c r="B1" s="10"/>
      <c r="C1" s="10"/>
      <c r="D1" s="10"/>
      <c r="E1" s="10"/>
      <c r="F1" s="10"/>
      <c r="G1" s="10"/>
      <c r="H1" s="10"/>
      <c r="I1" s="10"/>
    </row>
    <row r="2" customFormat="false" ht="19.5" hidden="false" customHeight="true" outlineLevel="0" collapsed="false">
      <c r="A2" s="6" t="s">
        <v>106</v>
      </c>
      <c r="B2" s="6" t="s">
        <v>37</v>
      </c>
      <c r="C2" s="6" t="s">
        <v>38</v>
      </c>
      <c r="D2" s="6" t="s">
        <v>41</v>
      </c>
      <c r="E2" s="6" t="s">
        <v>50</v>
      </c>
      <c r="F2" s="6" t="s">
        <v>51</v>
      </c>
      <c r="G2" s="6" t="s">
        <v>107</v>
      </c>
      <c r="H2" s="6" t="s">
        <v>102</v>
      </c>
      <c r="I2" s="6" t="s">
        <v>108</v>
      </c>
    </row>
    <row r="3" customFormat="false" ht="18" hidden="false" customHeight="true" outlineLevel="0" collapsed="false">
      <c r="A3" s="26" t="s">
        <v>109</v>
      </c>
      <c r="B3" s="12" t="n">
        <v>1063739.94</v>
      </c>
      <c r="C3" s="12" t="n">
        <v>401176.01</v>
      </c>
      <c r="D3" s="12" t="n">
        <v>662563.93</v>
      </c>
      <c r="E3" s="12" t="n">
        <v>572976.6</v>
      </c>
      <c r="F3" s="14" t="n">
        <f aca="false">IF(OR(D3="",D3=0),"",E3/D3)</f>
        <v>0.864786889319495</v>
      </c>
      <c r="G3" s="14" t="n">
        <f aca="false">IF(OR(B3="",B3=0),"",C3/B3)</f>
        <v>0.377137301058753</v>
      </c>
      <c r="H3" s="13" t="str">
        <f aca="false">IF(OR(D3="",E3=""),"",IF(E3&lt;0,IF(AND(G3&lt;&gt;"",G3&gt;0.4),"流血·先复算口径","亏损"),IF(F3&lt;0.05,"微利","健康")))</f>
        <v>健康</v>
      </c>
      <c r="I3" s="7" t="s">
        <v>110</v>
      </c>
    </row>
    <row r="4" customFormat="false" ht="18" hidden="false" customHeight="true" outlineLevel="0" collapsed="false">
      <c r="A4" s="26" t="s">
        <v>111</v>
      </c>
      <c r="B4" s="12" t="n">
        <v>3544587.92</v>
      </c>
      <c r="C4" s="12" t="n">
        <v>79444.58</v>
      </c>
      <c r="D4" s="12" t="n">
        <v>3465143.34</v>
      </c>
      <c r="E4" s="12" t="n">
        <v>256755.17</v>
      </c>
      <c r="F4" s="14" t="n">
        <f aca="false">IF(OR(D4="",D4=0),"",E4/D4)</f>
        <v>0.0740965509380631</v>
      </c>
      <c r="G4" s="14" t="n">
        <f aca="false">IF(OR(B4="",B4=0),"",C4/B4)</f>
        <v>0.0224129240952782</v>
      </c>
      <c r="H4" s="13" t="str">
        <f aca="false">IF(OR(D4="",E4=""),"",IF(E4&lt;0,IF(AND(G4&lt;&gt;"",G4&gt;0.4),"流血·先复算口径","亏损"),IF(F4&lt;0.05,"微利","健康")))</f>
        <v>健康</v>
      </c>
      <c r="I4" s="7" t="s">
        <v>112</v>
      </c>
    </row>
    <row r="5" customFormat="false" ht="18" hidden="false" customHeight="true" outlineLevel="0" collapsed="false">
      <c r="A5" s="26" t="s">
        <v>113</v>
      </c>
      <c r="B5" s="12" t="n">
        <v>34017636.76</v>
      </c>
      <c r="C5" s="12" t="n">
        <v>15622474.6</v>
      </c>
      <c r="D5" s="12" t="n">
        <v>16097777.72</v>
      </c>
      <c r="E5" s="12" t="n">
        <v>-1094633.81</v>
      </c>
      <c r="F5" s="14" t="n">
        <f aca="false">IF(OR(D5="",D5=0),"",E5/D5)</f>
        <v>-0.0679990635378211</v>
      </c>
      <c r="G5" s="14" t="n">
        <f aca="false">IF(OR(B5="",B5=0),"",C5/B5)</f>
        <v>0.459246323024116</v>
      </c>
      <c r="H5" s="13" t="str">
        <f aca="false">IF(OR(D5="",E5=""),"",IF(E5&lt;0,IF(AND(G5&lt;&gt;"",G5&gt;0.4),"流血·先复算口径","亏损"),IF(F5&lt;0.05,"微利","健康")))</f>
        <v>流血·先复算口径</v>
      </c>
      <c r="I5" s="7" t="s">
        <v>114</v>
      </c>
    </row>
    <row r="6" customFormat="false" ht="18" hidden="false" customHeight="true" outlineLevel="0" collapsed="false">
      <c r="A6" s="26" t="s">
        <v>115</v>
      </c>
      <c r="B6" s="12" t="n">
        <v>897176.55</v>
      </c>
      <c r="C6" s="12" t="n">
        <v>395876.46</v>
      </c>
      <c r="D6" s="12" t="n">
        <v>437735.89</v>
      </c>
      <c r="E6" s="12" t="n">
        <v>-83287.1</v>
      </c>
      <c r="F6" s="14" t="n">
        <f aca="false">IF(OR(D6="",D6=0),"",E6/D6)</f>
        <v>-0.190267926168905</v>
      </c>
      <c r="G6" s="14" t="n">
        <f aca="false">IF(OR(B6="",B6=0),"",C6/B6)</f>
        <v>0.441246998709451</v>
      </c>
      <c r="H6" s="13" t="str">
        <f aca="false">IF(OR(D6="",E6=""),"",IF(E6&lt;0,IF(AND(G6&lt;&gt;"",G6&gt;0.4),"流血·先复算口径","亏损"),IF(F6&lt;0.05,"微利","健康")))</f>
        <v>流血·先复算口径</v>
      </c>
      <c r="I6" s="7" t="s">
        <v>116</v>
      </c>
    </row>
    <row r="7" customFormat="false" ht="18" hidden="false" customHeight="true" outlineLevel="0" collapsed="false">
      <c r="A7" s="26" t="s">
        <v>117</v>
      </c>
      <c r="B7" s="12" t="n">
        <v>54338.43</v>
      </c>
      <c r="C7" s="12" t="n">
        <v>33188.71</v>
      </c>
      <c r="D7" s="12" t="n">
        <v>21149.72</v>
      </c>
      <c r="E7" s="12" t="n">
        <v>-6396.41</v>
      </c>
      <c r="F7" s="14" t="n">
        <f aca="false">IF(OR(D7="",D7=0),"",E7/D7)</f>
        <v>-0.302434736724647</v>
      </c>
      <c r="G7" s="14" t="n">
        <f aca="false">IF(OR(B7="",B7=0),"",C7/B7)</f>
        <v>0.610777860162688</v>
      </c>
      <c r="H7" s="13" t="str">
        <f aca="false">IF(OR(D7="",E7=""),"",IF(E7&lt;0,IF(AND(G7&lt;&gt;"",G7&gt;0.4),"流血·先复算口径","亏损"),IF(F7&lt;0.05,"微利","健康")))</f>
        <v>流血·先复算口径</v>
      </c>
      <c r="I7" s="7" t="s">
        <v>118</v>
      </c>
    </row>
    <row r="8" customFormat="false" ht="18" hidden="false" customHeight="true" outlineLevel="0" collapsed="false">
      <c r="A8" s="26"/>
      <c r="B8" s="12"/>
      <c r="C8" s="12"/>
      <c r="D8" s="12"/>
      <c r="E8" s="12"/>
      <c r="F8" s="14" t="str">
        <f aca="false">IF(OR(D8="",D8=0),"",E8/D8)</f>
        <v/>
      </c>
      <c r="G8" s="14" t="str">
        <f aca="false">IF(OR(B8="",B8=0),"",C8/B8)</f>
        <v/>
      </c>
      <c r="H8" s="13" t="str">
        <f aca="false">IF(OR(D8="",E8=""),"",IF(E8&lt;0,IF(AND(G8&lt;&gt;"",G8&gt;0.4),"流血·先复算口径","亏损"),IF(F8&lt;0.05,"微利","健康")))</f>
        <v/>
      </c>
      <c r="I8" s="7"/>
    </row>
    <row r="9" customFormat="false" ht="18" hidden="false" customHeight="true" outlineLevel="0" collapsed="false">
      <c r="A9" s="26"/>
      <c r="B9" s="12"/>
      <c r="C9" s="12"/>
      <c r="D9" s="12"/>
      <c r="E9" s="12"/>
      <c r="F9" s="14" t="str">
        <f aca="false">IF(OR(D9="",D9=0),"",E9/D9)</f>
        <v/>
      </c>
      <c r="G9" s="14" t="str">
        <f aca="false">IF(OR(B9="",B9=0),"",C9/B9)</f>
        <v/>
      </c>
      <c r="H9" s="13" t="str">
        <f aca="false">IF(OR(D9="",E9=""),"",IF(E9&lt;0,IF(AND(G9&lt;&gt;"",G9&gt;0.4),"流血·先复算口径","亏损"),IF(F9&lt;0.05,"微利","健康")))</f>
        <v/>
      </c>
      <c r="I9" s="7"/>
    </row>
    <row r="10" customFormat="false" ht="18" hidden="false" customHeight="true" outlineLevel="0" collapsed="false">
      <c r="A10" s="26"/>
      <c r="B10" s="12"/>
      <c r="C10" s="12"/>
      <c r="D10" s="12"/>
      <c r="E10" s="12"/>
      <c r="F10" s="14" t="str">
        <f aca="false">IF(OR(D10="",D10=0),"",E10/D10)</f>
        <v/>
      </c>
      <c r="G10" s="14" t="str">
        <f aca="false">IF(OR(B10="",B10=0),"",C10/B10)</f>
        <v/>
      </c>
      <c r="H10" s="13" t="str">
        <f aca="false">IF(OR(D10="",E10=""),"",IF(E10&lt;0,IF(AND(G10&lt;&gt;"",G10&gt;0.4),"流血·先复算口径","亏损"),IF(F10&lt;0.05,"微利","健康")))</f>
        <v/>
      </c>
      <c r="I10" s="7"/>
    </row>
    <row r="11" customFormat="false" ht="18" hidden="false" customHeight="true" outlineLevel="0" collapsed="false">
      <c r="A11" s="26"/>
      <c r="B11" s="12"/>
      <c r="C11" s="12"/>
      <c r="D11" s="12"/>
      <c r="E11" s="12"/>
      <c r="F11" s="14" t="str">
        <f aca="false">IF(OR(D11="",D11=0),"",E11/D11)</f>
        <v/>
      </c>
      <c r="G11" s="14" t="str">
        <f aca="false">IF(OR(B11="",B11=0),"",C11/B11)</f>
        <v/>
      </c>
      <c r="H11" s="13" t="str">
        <f aca="false">IF(OR(D11="",E11=""),"",IF(E11&lt;0,IF(AND(G11&lt;&gt;"",G11&gt;0.4),"流血·先复算口径","亏损"),IF(F11&lt;0.05,"微利","健康")))</f>
        <v/>
      </c>
      <c r="I11" s="7"/>
    </row>
    <row r="12" customFormat="false" ht="18" hidden="false" customHeight="true" outlineLevel="0" collapsed="false">
      <c r="A12" s="26"/>
      <c r="B12" s="12"/>
      <c r="C12" s="12"/>
      <c r="D12" s="12"/>
      <c r="E12" s="12"/>
      <c r="F12" s="14" t="str">
        <f aca="false">IF(OR(D12="",D12=0),"",E12/D12)</f>
        <v/>
      </c>
      <c r="G12" s="14" t="str">
        <f aca="false">IF(OR(B12="",B12=0),"",C12/B12)</f>
        <v/>
      </c>
      <c r="H12" s="13" t="str">
        <f aca="false">IF(OR(D12="",E12=""),"",IF(E12&lt;0,IF(AND(G12&lt;&gt;"",G12&gt;0.4),"流血·先复算口径","亏损"),IF(F12&lt;0.05,"微利","健康")))</f>
        <v/>
      </c>
      <c r="I12" s="7"/>
    </row>
  </sheetData>
  <autoFilter ref="A2:I12"/>
  <mergeCells count="1">
    <mergeCell ref="A1:I1"/>
  </mergeCells>
  <conditionalFormatting sqref="E3:E12">
    <cfRule type="cellIs" priority="2" operator="lessThan" aboveAverage="0" equalAverage="0" bottom="0" percent="0" rank="0" text="" dxfId="9">
      <formula>0</formula>
    </cfRule>
  </conditionalFormatting>
  <conditionalFormatting sqref="F3:F12">
    <cfRule type="cellIs" priority="3" operator="lessThan" aboveAverage="0" equalAverage="0" bottom="0" percent="0" rank="0" text="" dxfId="9">
      <formula>0</formula>
    </cfRule>
  </conditionalFormatting>
  <conditionalFormatting sqref="H3:H12">
    <cfRule type="expression" priority="4" aboveAverage="0" equalAverage="0" bottom="0" percent="0" rank="0" text="" dxfId="10">
      <formula>ISNUMBER(SEARCH("流血",H3))</formula>
    </cfRule>
    <cfRule type="expression" priority="5" aboveAverage="0" equalAverage="0" bottom="0" percent="0" rank="0" text="" dxfId="11">
      <formula>H3="健康"</formula>
    </cfRule>
    <cfRule type="expression" priority="6" aboveAverage="0" equalAverage="0" bottom="0" percent="0" rank="0" text="" dxfId="8">
      <formula>H3="微利"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2026-09-17T08:45:15Z</dcterms:created>
  <dc:creator>openpyxl</dc:creator>
  <dc:description/>
  <dc:language>zh-CN</dc:language>
  <cp:lastModifiedBy/>
  <dcterms:modified xsi:type="dcterms:W3CDTF">2026-09-17T08:45:15Z</dcterms:modified>
  <cp:revision>0</cp:revision>
  <dc:subject/>
  <dc:title>电商经营口径自查表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